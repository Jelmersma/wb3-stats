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lectie" sheetId="1" state="visible" r:id="rId1"/>
    <sheet name="Training" sheetId="2" state="visible" r:id="rId2"/>
    <sheet name="Competitie" sheetId="3" state="visible" r:id="rId3"/>
    <sheet name="Oefen" sheetId="4" state="visible" r:id="rId4"/>
    <sheet name="Wedstrijden" sheetId="5" state="visible" r:id="rId5"/>
  </sheets>
  <definedNames>
    <definedName name="_xlnm._FilterDatabase" localSheetId="0" hidden="1">'Selectie'!$A$2:$N$36</definedName>
    <definedName name="_xlnm._FilterDatabase" localSheetId="1" hidden="1">'Training'!$A$1:$P$35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&quot;-&quot;mmm"/>
    <numFmt numFmtId="165" formatCode="d&quot;-&quot;mmm&quot; &quot;h&quot;:&quot;mm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/>
    <font>
      <name val="Arial"/>
      <color theme="1"/>
      <scheme val="minor"/>
    </font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0" borderId="4" pivotButton="0" quotePrefix="0" xfId="0"/>
    <xf numFmtId="0" fontId="3" fillId="0" borderId="4" pivotButton="0" quotePrefix="0" xfId="0"/>
    <xf numFmtId="0" fontId="3" fillId="0" borderId="4" pivotButton="0" quotePrefix="0" xfId="0"/>
    <xf numFmtId="0" fontId="1" fillId="0" borderId="4" pivotButton="0" quotePrefix="0" xfId="0"/>
    <xf numFmtId="164" fontId="1" fillId="0" borderId="4" pivotButton="0" quotePrefix="0" xfId="0"/>
    <xf numFmtId="164" fontId="1" fillId="0" borderId="0" pivotButton="0" quotePrefix="0" xfId="0"/>
    <xf numFmtId="0" fontId="1" fillId="0" borderId="0" pivotButton="0" quotePrefix="0" xfId="0"/>
    <xf numFmtId="165" fontId="3" fillId="0" borderId="4" pivotButton="0" quotePrefix="0" xfId="0"/>
    <xf numFmtId="0" fontId="3" fillId="0" borderId="4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5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47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5" min="2" max="2"/>
    <col width="8.130000000000001" customWidth="1" style="15" min="3" max="3"/>
    <col width="9.380000000000001" customWidth="1" style="15" min="4" max="4"/>
    <col width="7.13" customWidth="1" style="15" min="5" max="5"/>
    <col width="7.75" customWidth="1" style="15" min="6" max="6"/>
    <col width="9.25" customWidth="1" style="15" min="7" max="7"/>
    <col width="11.88" customWidth="1" style="15" min="8" max="8"/>
    <col width="9.880000000000001" customWidth="1" style="15" min="9" max="9"/>
    <col width="8.130000000000001" customWidth="1" style="15" min="10" max="10"/>
    <col width="9.380000000000001" customWidth="1" style="15" min="11" max="11"/>
    <col width="7.13" customWidth="1" style="15" min="12" max="12"/>
    <col width="7.75" customWidth="1" style="15" min="13" max="13"/>
    <col width="9.25" customWidth="1" style="15" min="14" max="14"/>
  </cols>
  <sheetData>
    <row r="1">
      <c r="A1" s="11" t="n"/>
      <c r="B1" s="16" t="inlineStr">
        <is>
          <t>Competitie</t>
        </is>
      </c>
      <c r="C1" s="17" t="n"/>
      <c r="D1" s="17" t="n"/>
      <c r="E1" s="17" t="n"/>
      <c r="F1" s="17" t="n"/>
      <c r="G1" s="18" t="n"/>
      <c r="H1" s="11" t="n"/>
      <c r="I1" s="16" t="inlineStr">
        <is>
          <t>Oefenpotjes</t>
        </is>
      </c>
      <c r="J1" s="17" t="n"/>
      <c r="K1" s="17" t="n"/>
      <c r="L1" s="17" t="n"/>
      <c r="M1" s="17" t="n"/>
      <c r="N1" s="18" t="n"/>
    </row>
    <row r="2">
      <c r="A2" s="8" t="inlineStr">
        <is>
          <t>Naam</t>
        </is>
      </c>
      <c r="B2" s="8" t="inlineStr">
        <is>
          <t>Minuten</t>
        </is>
      </c>
      <c r="C2" s="8" t="inlineStr">
        <is>
          <t>Goals</t>
        </is>
      </c>
      <c r="D2" s="8" t="inlineStr">
        <is>
          <t>Assists</t>
        </is>
      </c>
      <c r="E2" s="8" t="inlineStr">
        <is>
          <t>Geel</t>
        </is>
      </c>
      <c r="F2" s="8" t="inlineStr">
        <is>
          <t>Rood</t>
        </is>
      </c>
      <c r="G2" s="8" t="inlineStr">
        <is>
          <t>Snuiter</t>
        </is>
      </c>
      <c r="H2" s="8" t="inlineStr">
        <is>
          <t>Trainingen</t>
        </is>
      </c>
      <c r="I2" s="8" t="inlineStr">
        <is>
          <t>Minuten</t>
        </is>
      </c>
      <c r="J2" s="8" t="inlineStr">
        <is>
          <t>Goals</t>
        </is>
      </c>
      <c r="K2" s="8" t="inlineStr">
        <is>
          <t>Assists</t>
        </is>
      </c>
      <c r="L2" s="8" t="inlineStr">
        <is>
          <t>Geel</t>
        </is>
      </c>
      <c r="M2" s="8" t="inlineStr">
        <is>
          <t>Rood</t>
        </is>
      </c>
      <c r="N2" s="8" t="inlineStr">
        <is>
          <t>Snuiter</t>
        </is>
      </c>
    </row>
    <row r="3">
      <c r="A3" s="7" t="inlineStr">
        <is>
          <t>Barry</t>
        </is>
      </c>
      <c r="B3" s="7">
        <f>SUM(Competitie!B2:Q2)</f>
        <v/>
      </c>
      <c r="C3" s="7" t="n"/>
      <c r="D3" s="7" t="n"/>
      <c r="E3" s="7" t="n"/>
      <c r="F3" s="7" t="n"/>
      <c r="G3" s="7" t="n"/>
      <c r="H3" s="7">
        <f>SUM(Training!B2:P2)</f>
        <v/>
      </c>
      <c r="I3" s="7">
        <f>SUM(Oefen!B2:O2)</f>
        <v/>
      </c>
      <c r="J3" s="7" t="n"/>
      <c r="K3" s="7" t="n"/>
      <c r="L3" s="7" t="n"/>
      <c r="M3" s="7" t="n"/>
      <c r="N3" s="7" t="n"/>
    </row>
    <row r="4">
      <c r="A4" s="7" t="inlineStr">
        <is>
          <t>Brahim</t>
        </is>
      </c>
      <c r="B4" s="7">
        <f>SUM(Competitie!B3:Q3)</f>
        <v/>
      </c>
      <c r="C4" s="7" t="n"/>
      <c r="D4" s="7" t="n"/>
      <c r="E4" s="7" t="n"/>
      <c r="F4" s="7" t="n"/>
      <c r="G4" s="7" t="n"/>
      <c r="H4" s="7">
        <f>SUM(Training!B3:P3)</f>
        <v/>
      </c>
      <c r="I4" s="7">
        <f>SUM(Oefen!B4:O4)</f>
        <v/>
      </c>
      <c r="J4" s="7" t="n"/>
      <c r="K4" s="7" t="n"/>
      <c r="L4" s="7" t="n"/>
      <c r="M4" s="7" t="n"/>
      <c r="N4" s="7" t="n"/>
    </row>
    <row r="5">
      <c r="A5" s="7" t="inlineStr">
        <is>
          <t>Bert</t>
        </is>
      </c>
      <c r="B5" s="7">
        <f>SUM(Competitie!B4:Q4)</f>
        <v/>
      </c>
      <c r="C5" s="7" t="n"/>
      <c r="D5" s="7" t="n"/>
      <c r="E5" s="7" t="n"/>
      <c r="F5" s="7" t="n"/>
      <c r="G5" s="7" t="n"/>
      <c r="H5" s="7">
        <f>SUM(Training!B4:P4)</f>
        <v/>
      </c>
      <c r="I5" s="7">
        <f>SUM(Oefen!B5:O5)</f>
        <v/>
      </c>
      <c r="J5" s="7" t="n"/>
      <c r="K5" s="7" t="n"/>
      <c r="L5" s="7" t="n"/>
      <c r="M5" s="7" t="n"/>
      <c r="N5" s="7" t="n"/>
    </row>
    <row r="6">
      <c r="A6" s="7" t="inlineStr">
        <is>
          <t>Daan</t>
        </is>
      </c>
      <c r="B6" s="7">
        <f>SUM(Competitie!B5:Q5)</f>
        <v/>
      </c>
      <c r="C6" s="7" t="n"/>
      <c r="D6" s="7" t="n"/>
      <c r="E6" s="7" t="n"/>
      <c r="F6" s="7" t="n"/>
      <c r="G6" s="7" t="n"/>
      <c r="H6" s="7">
        <f>SUM(Training!B5:P5)</f>
        <v/>
      </c>
      <c r="I6" s="7">
        <f>SUM(Oefen!B5:O5)</f>
        <v/>
      </c>
      <c r="J6" s="7" t="n"/>
      <c r="K6" s="7" t="n"/>
      <c r="L6" s="7" t="n"/>
      <c r="M6" s="7" t="n"/>
      <c r="N6" s="7" t="n"/>
    </row>
    <row r="7">
      <c r="A7" s="7" t="inlineStr">
        <is>
          <t>Dirk</t>
        </is>
      </c>
      <c r="B7" s="7">
        <f>SUM(Competitie!B6:Q6)</f>
        <v/>
      </c>
      <c r="C7" s="7" t="n"/>
      <c r="D7" s="7" t="n"/>
      <c r="E7" s="7" t="n"/>
      <c r="F7" s="7" t="n"/>
      <c r="G7" s="7" t="n"/>
      <c r="H7" s="7">
        <f>SUM(Training!B6:P6)</f>
        <v/>
      </c>
      <c r="I7" s="7">
        <f>SUM(Oefen!B6:O6)</f>
        <v/>
      </c>
      <c r="J7" s="7" t="n"/>
      <c r="K7" s="7" t="n"/>
      <c r="L7" s="7" t="n"/>
      <c r="M7" s="7" t="n"/>
      <c r="N7" s="7" t="n"/>
    </row>
    <row r="8">
      <c r="A8" s="7" t="inlineStr">
        <is>
          <t>Eddy</t>
        </is>
      </c>
      <c r="B8" s="7">
        <f>SUM(Competitie!B7:Q7)</f>
        <v/>
      </c>
      <c r="C8" s="7" t="n">
        <v>1</v>
      </c>
      <c r="D8" s="7" t="n"/>
      <c r="E8" s="7" t="n"/>
      <c r="F8" s="7" t="n"/>
      <c r="G8" s="7" t="n"/>
      <c r="H8" s="7">
        <f>SUM(Training!B7:P7)</f>
        <v/>
      </c>
      <c r="I8" s="7">
        <f>SUM(Oefen!B7:O7)</f>
        <v/>
      </c>
      <c r="J8" s="7" t="n"/>
      <c r="K8" s="7" t="n">
        <v>1</v>
      </c>
      <c r="L8" s="7" t="n"/>
      <c r="M8" s="7" t="n"/>
      <c r="N8" s="7" t="n"/>
    </row>
    <row r="9">
      <c r="A9" s="7" t="inlineStr">
        <is>
          <t>Elwin</t>
        </is>
      </c>
      <c r="B9" s="7">
        <f>SUM(Competitie!B8:Q8)</f>
        <v/>
      </c>
      <c r="C9" s="7" t="n"/>
      <c r="D9" s="7" t="n"/>
      <c r="E9" s="7" t="n"/>
      <c r="F9" s="7" t="n"/>
      <c r="G9" s="7" t="n"/>
      <c r="H9" s="7">
        <f>SUM(Training!B8:P8)</f>
        <v/>
      </c>
      <c r="I9" s="7">
        <f>SUM(Oefen!B8:O8)</f>
        <v/>
      </c>
      <c r="J9" s="7" t="n"/>
      <c r="K9" s="7" t="n"/>
      <c r="L9" s="7" t="n"/>
      <c r="M9" s="7" t="n"/>
      <c r="N9" s="7" t="n"/>
    </row>
    <row r="10">
      <c r="A10" s="7" t="inlineStr">
        <is>
          <t>Erwin</t>
        </is>
      </c>
      <c r="B10" s="7">
        <f>SUM(Competitie!B9:Q9)</f>
        <v/>
      </c>
      <c r="C10" s="7" t="n"/>
      <c r="D10" s="7" t="n"/>
      <c r="E10" s="7" t="n"/>
      <c r="F10" s="7" t="n"/>
      <c r="G10" s="7" t="n"/>
      <c r="H10" s="7">
        <f>SUM(Training!B9:P9)</f>
        <v/>
      </c>
      <c r="I10" s="7">
        <f>SUM(Oefen!B9:O9)</f>
        <v/>
      </c>
      <c r="J10" s="7" t="n"/>
      <c r="K10" s="7" t="n"/>
      <c r="L10" s="7" t="n"/>
      <c r="M10" s="7" t="n"/>
      <c r="N10" s="7" t="n"/>
    </row>
    <row r="11">
      <c r="A11" s="7" t="inlineStr">
        <is>
          <t>Felix</t>
        </is>
      </c>
      <c r="B11" s="7">
        <f>SUM(Competitie!B10:Q10)</f>
        <v/>
      </c>
      <c r="C11" s="7" t="n"/>
      <c r="D11" s="7" t="n"/>
      <c r="E11" s="7" t="n">
        <v>1</v>
      </c>
      <c r="F11" s="7" t="n"/>
      <c r="G11" s="7" t="n"/>
      <c r="H11" s="7">
        <f>SUM(Training!B10:P10)</f>
        <v/>
      </c>
      <c r="I11" s="7">
        <f>SUM(Oefen!B10:O10)</f>
        <v/>
      </c>
      <c r="J11" s="7" t="n">
        <v>1</v>
      </c>
      <c r="K11" s="7" t="n"/>
      <c r="L11" s="7" t="n"/>
      <c r="M11" s="7" t="n"/>
      <c r="N11" s="7" t="n"/>
    </row>
    <row r="12">
      <c r="A12" s="7" t="inlineStr">
        <is>
          <t>Hanna</t>
        </is>
      </c>
      <c r="B12" s="7">
        <f>SUM(Competitie!B11:Q11)</f>
        <v/>
      </c>
      <c r="C12" s="7" t="n">
        <v>2</v>
      </c>
      <c r="D12" s="7" t="n"/>
      <c r="E12" s="7" t="n"/>
      <c r="F12" s="7" t="n"/>
      <c r="G12" s="7" t="n"/>
      <c r="H12" s="7">
        <f>SUM(Training!B11:P11)</f>
        <v/>
      </c>
      <c r="I12" s="7">
        <f>SUM(Oefen!B11:O11)</f>
        <v/>
      </c>
      <c r="J12" s="7" t="n"/>
      <c r="K12" s="7" t="n"/>
      <c r="L12" s="7" t="n"/>
      <c r="M12" s="7" t="n"/>
      <c r="N12" s="7" t="n"/>
    </row>
    <row r="13">
      <c r="A13" s="7" t="inlineStr">
        <is>
          <t>Jan</t>
        </is>
      </c>
      <c r="B13" s="7">
        <f>SUM(Competitie!B12:Q12)</f>
        <v/>
      </c>
      <c r="C13" s="7" t="n"/>
      <c r="D13" s="7" t="n"/>
      <c r="E13" s="7" t="n"/>
      <c r="F13" s="7" t="n"/>
      <c r="G13" s="7" t="n"/>
      <c r="H13" s="7">
        <f>SUM(Training!B12:P12)</f>
        <v/>
      </c>
      <c r="I13" s="7">
        <f>SUM(Oefen!B12:O12)</f>
        <v/>
      </c>
      <c r="J13" s="7" t="n"/>
      <c r="K13" s="7" t="n"/>
      <c r="L13" s="7" t="n"/>
      <c r="M13" s="7" t="n"/>
      <c r="N13" s="7" t="n"/>
    </row>
    <row r="14">
      <c r="A14" s="7" t="inlineStr">
        <is>
          <t>Jelmer</t>
        </is>
      </c>
      <c r="B14" s="7">
        <f>SUM(Competitie!B13:Q13)</f>
        <v/>
      </c>
      <c r="C14" s="7" t="n"/>
      <c r="D14" s="7" t="n"/>
      <c r="E14" s="7" t="n"/>
      <c r="F14" s="7" t="n"/>
      <c r="G14" s="7" t="n"/>
      <c r="H14" s="7">
        <f>SUM(Training!B13:P13)</f>
        <v/>
      </c>
      <c r="I14" s="7">
        <f>SUM(Oefen!B13:O13)</f>
        <v/>
      </c>
      <c r="J14" s="7" t="n"/>
      <c r="K14" s="7" t="n"/>
      <c r="L14" s="7" t="n"/>
      <c r="M14" s="7" t="n"/>
      <c r="N14" s="7" t="n"/>
    </row>
    <row r="15">
      <c r="A15" s="7" t="inlineStr">
        <is>
          <t>Jesse</t>
        </is>
      </c>
      <c r="B15" s="7">
        <f>SUM(Competitie!B14:Q14)</f>
        <v/>
      </c>
      <c r="C15" s="7" t="n">
        <v>1</v>
      </c>
      <c r="D15" s="7" t="n"/>
      <c r="E15" s="7" t="n"/>
      <c r="F15" s="7" t="n"/>
      <c r="G15" s="7" t="n"/>
      <c r="H15" s="7">
        <f>SUM(Training!B14:P14)</f>
        <v/>
      </c>
      <c r="I15" s="7">
        <f>SUM(Oefen!B14:O14)</f>
        <v/>
      </c>
      <c r="J15" s="7" t="n"/>
      <c r="K15" s="7" t="n"/>
      <c r="L15" s="7" t="n"/>
      <c r="M15" s="7" t="n"/>
      <c r="N15" s="7" t="n"/>
    </row>
    <row r="16">
      <c r="A16" s="7" t="inlineStr">
        <is>
          <t>Joey H.</t>
        </is>
      </c>
      <c r="B16" s="7">
        <f>SUM(Competitie!B15:Q15)</f>
        <v/>
      </c>
      <c r="C16" s="7" t="n">
        <v>1</v>
      </c>
      <c r="D16" s="7" t="n"/>
      <c r="E16" s="7" t="n"/>
      <c r="F16" s="7" t="n"/>
      <c r="G16" s="7" t="n"/>
      <c r="H16" s="7">
        <f>SUM(Training!B15:P15)</f>
        <v/>
      </c>
      <c r="I16" s="7">
        <f>SUM(Oefen!B15:O15)</f>
        <v/>
      </c>
      <c r="J16" s="7" t="n">
        <v>1</v>
      </c>
      <c r="K16" s="7" t="n"/>
      <c r="L16" s="7" t="n"/>
      <c r="M16" s="7" t="n"/>
      <c r="N16" s="7" t="n"/>
    </row>
    <row r="17">
      <c r="A17" s="7" t="inlineStr">
        <is>
          <t>Joey K.</t>
        </is>
      </c>
      <c r="B17" s="7">
        <f>SUM(Competitie!B16:Q16)</f>
        <v/>
      </c>
      <c r="C17" s="7" t="n"/>
      <c r="D17" s="7" t="n"/>
      <c r="E17" s="7" t="n"/>
      <c r="F17" s="7" t="n"/>
      <c r="G17" s="7" t="n"/>
      <c r="H17" s="7">
        <f>SUM(Training!B16:P16)</f>
        <v/>
      </c>
      <c r="I17" s="7">
        <f>SUM(Oefen!B16:O16)</f>
        <v/>
      </c>
      <c r="J17" s="7" t="n"/>
      <c r="K17" s="7" t="n"/>
      <c r="L17" s="7" t="n"/>
      <c r="M17" s="7" t="n"/>
      <c r="N17" s="7" t="n"/>
    </row>
    <row r="18">
      <c r="A18" s="7" t="inlineStr">
        <is>
          <t>Joost</t>
        </is>
      </c>
      <c r="B18" s="7">
        <f>SUM(Competitie!B17:Q17)</f>
        <v/>
      </c>
      <c r="C18" s="7" t="n"/>
      <c r="D18" s="7" t="n"/>
      <c r="E18" s="7" t="n"/>
      <c r="F18" s="7" t="n"/>
      <c r="G18" s="7" t="n"/>
      <c r="H18" s="7">
        <f>SUM(Training!B17:P17)</f>
        <v/>
      </c>
      <c r="I18" s="7">
        <f>SUM(Oefen!B17:O17)</f>
        <v/>
      </c>
      <c r="J18" s="7" t="n">
        <v>1</v>
      </c>
      <c r="K18" s="7" t="n"/>
      <c r="L18" s="7" t="n"/>
      <c r="M18" s="7" t="n"/>
      <c r="N18" s="7" t="n"/>
    </row>
    <row r="19">
      <c r="A19" s="7" t="inlineStr">
        <is>
          <t>Jur</t>
        </is>
      </c>
      <c r="B19" s="7">
        <f>SUM(Competitie!B18:Q18)</f>
        <v/>
      </c>
      <c r="C19" s="7" t="n">
        <v>1</v>
      </c>
      <c r="D19" s="7" t="n">
        <v>1</v>
      </c>
      <c r="E19" s="7" t="n"/>
      <c r="F19" s="7" t="n"/>
      <c r="G19" s="7" t="n"/>
      <c r="H19" s="7">
        <f>SUM(Training!B18:P18)</f>
        <v/>
      </c>
      <c r="I19" s="7">
        <f>SUM(Oefen!B18:O18)</f>
        <v/>
      </c>
      <c r="J19" s="7" t="n"/>
      <c r="K19" s="7" t="n"/>
      <c r="L19" s="7" t="n"/>
      <c r="M19" s="7" t="n"/>
      <c r="N19" s="7" t="n"/>
    </row>
    <row r="20">
      <c r="A20" s="7" t="inlineStr">
        <is>
          <t>Justus</t>
        </is>
      </c>
      <c r="B20" s="7">
        <f>SUM(Competitie!B19:Q19)</f>
        <v/>
      </c>
      <c r="C20" s="7" t="n">
        <v>1</v>
      </c>
      <c r="D20" s="7" t="n"/>
      <c r="E20" s="7" t="n"/>
      <c r="F20" s="7" t="n"/>
      <c r="G20" s="7" t="n"/>
      <c r="H20" s="7">
        <f>SUM(Training!B19:P19)</f>
        <v/>
      </c>
      <c r="I20" s="7">
        <f>SUM(Oefen!B19:O19)</f>
        <v/>
      </c>
      <c r="J20" s="7" t="n"/>
      <c r="K20" s="7" t="n"/>
      <c r="L20" s="7" t="n"/>
      <c r="M20" s="7" t="n"/>
      <c r="N20" s="7" t="n"/>
    </row>
    <row r="21">
      <c r="A21" s="7" t="inlineStr">
        <is>
          <t>Kris</t>
        </is>
      </c>
      <c r="B21" s="7">
        <f>SUM(Competitie!B20:Q20)</f>
        <v/>
      </c>
      <c r="C21" s="7" t="n"/>
      <c r="D21" s="7" t="n"/>
      <c r="E21" s="7" t="n"/>
      <c r="F21" s="7" t="n"/>
      <c r="G21" s="7" t="n"/>
      <c r="H21" s="7">
        <f>SUM(Training!B20:P20)</f>
        <v/>
      </c>
      <c r="I21" s="7">
        <f>SUM(Oefen!B20:O20)</f>
        <v/>
      </c>
      <c r="J21" s="7" t="n">
        <v>1</v>
      </c>
      <c r="K21" s="7" t="n"/>
      <c r="L21" s="7" t="n"/>
      <c r="M21" s="7" t="n"/>
      <c r="N21" s="7" t="n"/>
    </row>
    <row r="22">
      <c r="A22" s="7" t="inlineStr">
        <is>
          <t>Lars</t>
        </is>
      </c>
      <c r="B22" s="7">
        <f>SUM(Competitie!B21:Q21)</f>
        <v/>
      </c>
      <c r="C22" s="7" t="n">
        <v>1</v>
      </c>
      <c r="D22" s="7" t="n"/>
      <c r="E22" s="7" t="n"/>
      <c r="F22" s="7" t="n"/>
      <c r="G22" s="7" t="n">
        <v>1</v>
      </c>
      <c r="H22" s="7">
        <f>SUM(Training!B21:P21)</f>
        <v/>
      </c>
      <c r="I22" s="7">
        <f>SUM(Oefen!B21:O21)</f>
        <v/>
      </c>
      <c r="J22" s="7" t="n"/>
      <c r="K22" s="7" t="n"/>
      <c r="L22" s="7" t="n"/>
      <c r="M22" s="7" t="n"/>
      <c r="N22" s="7" t="n">
        <v>1</v>
      </c>
    </row>
    <row r="23">
      <c r="A23" s="7" t="inlineStr">
        <is>
          <t>Mark</t>
        </is>
      </c>
      <c r="B23" s="7">
        <f>SUM(Competitie!B22:Q22)</f>
        <v/>
      </c>
      <c r="C23" s="7" t="n">
        <v>3</v>
      </c>
      <c r="D23" s="7" t="n">
        <v>4</v>
      </c>
      <c r="E23" s="7" t="n"/>
      <c r="F23" s="7" t="n"/>
      <c r="G23" s="7" t="n">
        <v>1</v>
      </c>
      <c r="H23" s="7">
        <f>SUM(Training!B22:P22)</f>
        <v/>
      </c>
      <c r="I23" s="7" t="n">
        <v>90</v>
      </c>
      <c r="J23" s="7" t="n"/>
      <c r="K23" s="7" t="n">
        <v>2</v>
      </c>
      <c r="L23" s="7" t="n"/>
      <c r="M23" s="7" t="n"/>
      <c r="N23" s="7" t="n"/>
    </row>
    <row r="24">
      <c r="A24" s="7" t="inlineStr">
        <is>
          <t>Matthijs</t>
        </is>
      </c>
      <c r="B24" s="7">
        <f>SUM(Competitie!B23:Q23)</f>
        <v/>
      </c>
      <c r="C24" s="7" t="n"/>
      <c r="D24" s="7" t="n">
        <v>1</v>
      </c>
      <c r="E24" s="7" t="n"/>
      <c r="F24" s="7" t="n"/>
      <c r="G24" s="7" t="n"/>
      <c r="H24" s="7">
        <f>SUM(Training!B23:P23)</f>
        <v/>
      </c>
      <c r="I24" s="7">
        <f>SUM(Oefen!B24:O24)</f>
        <v/>
      </c>
      <c r="J24" s="7" t="n"/>
      <c r="K24" s="7" t="n"/>
      <c r="L24" s="7" t="n"/>
      <c r="M24" s="7" t="n"/>
      <c r="N24" s="7" t="n"/>
    </row>
    <row r="25">
      <c r="A25" s="7" t="inlineStr">
        <is>
          <t>Milan</t>
        </is>
      </c>
      <c r="B25" s="7">
        <f>SUM(Competitie!B24:Q24)</f>
        <v/>
      </c>
      <c r="C25" s="7" t="n">
        <v>1</v>
      </c>
      <c r="D25" s="7" t="n"/>
      <c r="E25" s="7" t="n"/>
      <c r="F25" s="7" t="n"/>
      <c r="G25" s="7" t="n">
        <v>1</v>
      </c>
      <c r="H25" s="7">
        <f>SUM(Training!B24:P24)</f>
        <v/>
      </c>
      <c r="I25" s="7">
        <f>SUM(Oefen!B25:O25)</f>
        <v/>
      </c>
      <c r="J25" s="7" t="n"/>
      <c r="K25" s="7" t="n"/>
      <c r="L25" s="7" t="n"/>
      <c r="M25" s="7" t="n"/>
      <c r="N25" s="7" t="n"/>
    </row>
    <row r="26">
      <c r="A26" s="7" t="inlineStr">
        <is>
          <t>Niels v. B.</t>
        </is>
      </c>
      <c r="B26" s="7">
        <f>SUM(Competitie!B25:Q25)</f>
        <v/>
      </c>
      <c r="C26" s="7" t="n"/>
      <c r="D26" s="7" t="n">
        <v>1</v>
      </c>
      <c r="E26" s="7" t="n">
        <v>1</v>
      </c>
      <c r="F26" s="7" t="n"/>
      <c r="G26" s="7" t="n"/>
      <c r="H26" s="7">
        <f>SUM(Training!B25:P25)</f>
        <v/>
      </c>
      <c r="I26" s="7">
        <f>SUM(Oefen!B26:O26)</f>
        <v/>
      </c>
      <c r="J26" s="7" t="n"/>
      <c r="K26" s="7" t="n"/>
      <c r="L26" s="7" t="n"/>
      <c r="M26" s="7" t="n"/>
      <c r="N26" s="7" t="n"/>
    </row>
    <row r="27">
      <c r="A27" s="7" t="inlineStr">
        <is>
          <t>Niels B.</t>
        </is>
      </c>
      <c r="B27" s="7">
        <f>SUM(Competitie!B26:Q26)</f>
        <v/>
      </c>
      <c r="C27" s="7" t="n"/>
      <c r="D27" s="7" t="n"/>
      <c r="E27" s="7" t="n"/>
      <c r="F27" s="7" t="n"/>
      <c r="G27" s="7" t="n"/>
      <c r="H27" s="7">
        <f>SUM(Training!B26:P26)</f>
        <v/>
      </c>
      <c r="I27" s="7">
        <f>SUM(Oefen!B27:O27)</f>
        <v/>
      </c>
      <c r="J27" s="7" t="n"/>
      <c r="K27" s="7" t="n"/>
      <c r="L27" s="7" t="n"/>
      <c r="M27" s="7" t="n"/>
      <c r="N27" s="7" t="n"/>
    </row>
    <row r="28">
      <c r="A28" s="7" t="inlineStr">
        <is>
          <t>Paul</t>
        </is>
      </c>
      <c r="B28" s="7">
        <f>SUM(Competitie!B27:Q27)</f>
        <v/>
      </c>
      <c r="C28" s="7" t="n"/>
      <c r="D28" s="7" t="n"/>
      <c r="E28" s="7" t="n"/>
      <c r="F28" s="7" t="n"/>
      <c r="G28" s="7" t="n"/>
      <c r="H28" s="7">
        <f>SUM(Training!B27:P27)</f>
        <v/>
      </c>
      <c r="I28" s="7">
        <f>SUM(Oefen!B28:O28)</f>
        <v/>
      </c>
      <c r="J28" s="7" t="n">
        <v>1</v>
      </c>
      <c r="K28" s="7" t="n"/>
      <c r="L28" s="7" t="n"/>
      <c r="M28" s="7" t="n"/>
      <c r="N28" s="7" t="n"/>
    </row>
    <row r="29">
      <c r="A29" s="7" t="inlineStr">
        <is>
          <t>Peter</t>
        </is>
      </c>
      <c r="B29" s="7">
        <f>SUM(Competitie!B28:Q28)</f>
        <v/>
      </c>
      <c r="C29" s="7" t="n"/>
      <c r="D29" s="7" t="n"/>
      <c r="E29" s="7" t="n"/>
      <c r="F29" s="7" t="n"/>
      <c r="G29" s="7" t="n"/>
      <c r="H29" s="7">
        <f>SUM(Training!B28:P28)</f>
        <v/>
      </c>
      <c r="I29" s="7">
        <f>SUM(Oefen!B29:O29)</f>
        <v/>
      </c>
      <c r="J29" s="7" t="n"/>
      <c r="K29" s="7" t="n"/>
      <c r="L29" s="7" t="n"/>
      <c r="M29" s="7" t="n"/>
      <c r="N29" s="7" t="n"/>
    </row>
    <row r="30">
      <c r="A30" s="7" t="inlineStr">
        <is>
          <t>Robert H.</t>
        </is>
      </c>
      <c r="B30" s="7">
        <f>SUM(Competitie!B29:Q29)</f>
        <v/>
      </c>
      <c r="C30" s="7" t="n"/>
      <c r="D30" s="7" t="n"/>
      <c r="E30" s="7" t="n"/>
      <c r="F30" s="7" t="n"/>
      <c r="G30" s="7" t="n"/>
      <c r="H30" s="7">
        <f>SUM(Training!B29:P29)</f>
        <v/>
      </c>
      <c r="I30" s="7">
        <f>SUM(Oefen!B30:O30)</f>
        <v/>
      </c>
      <c r="J30" s="7" t="n"/>
      <c r="K30" s="7" t="n"/>
      <c r="L30" s="7" t="n"/>
      <c r="M30" s="7" t="n"/>
      <c r="N30" s="7" t="n"/>
    </row>
    <row r="31">
      <c r="A31" s="7" t="inlineStr">
        <is>
          <t>Robin v. B.</t>
        </is>
      </c>
      <c r="B31" s="7">
        <f>SUM(Competitie!B30:Q30)</f>
        <v/>
      </c>
      <c r="C31" s="7" t="n"/>
      <c r="D31" s="7" t="n"/>
      <c r="E31" s="7" t="n"/>
      <c r="F31" s="7" t="n"/>
      <c r="G31" s="7" t="n"/>
      <c r="H31" s="7">
        <f>SUM(Training!B30:P30)</f>
        <v/>
      </c>
      <c r="I31" s="7">
        <f>SUM(Oefen!B31:O31)</f>
        <v/>
      </c>
      <c r="J31" s="7" t="n"/>
      <c r="K31" s="7" t="n"/>
      <c r="L31" s="7" t="n"/>
      <c r="M31" s="7" t="n"/>
      <c r="N31" s="7" t="n"/>
    </row>
    <row r="32">
      <c r="A32" s="7" t="inlineStr">
        <is>
          <t>Robin E.</t>
        </is>
      </c>
      <c r="B32" s="7">
        <f>SUM(Competitie!B31:Q31)</f>
        <v/>
      </c>
      <c r="C32" s="7" t="n"/>
      <c r="D32" s="7" t="n"/>
      <c r="E32" s="7" t="n"/>
      <c r="F32" s="7" t="n"/>
      <c r="G32" s="7" t="n"/>
      <c r="H32" s="7">
        <f>SUM(Training!B31:P31)</f>
        <v/>
      </c>
      <c r="I32" s="7">
        <f>SUM(Oefen!B32:O32)</f>
        <v/>
      </c>
      <c r="J32" s="7" t="n"/>
      <c r="K32" s="7" t="n"/>
      <c r="L32" s="7" t="n"/>
      <c r="M32" s="7" t="n"/>
      <c r="N32" s="7" t="n"/>
    </row>
    <row r="33">
      <c r="A33" s="7" t="inlineStr">
        <is>
          <t>Sander</t>
        </is>
      </c>
      <c r="B33" s="7">
        <f>SUM(Competitie!B32:Q32)</f>
        <v/>
      </c>
      <c r="C33" s="7" t="n"/>
      <c r="D33" s="7" t="n">
        <v>3</v>
      </c>
      <c r="E33" s="7" t="n">
        <v>1</v>
      </c>
      <c r="F33" s="7" t="n"/>
      <c r="G33" s="7" t="n"/>
      <c r="H33" s="7">
        <f>SUM(Training!B32:P32)</f>
        <v/>
      </c>
      <c r="I33" s="7">
        <f>SUM(Oefen!B33:O33)</f>
        <v/>
      </c>
      <c r="J33" s="7" t="n"/>
      <c r="K33" s="7" t="n"/>
      <c r="L33" s="7" t="n"/>
      <c r="M33" s="7" t="n"/>
      <c r="N33" s="7" t="n"/>
    </row>
    <row r="34">
      <c r="A34" s="7" t="inlineStr">
        <is>
          <t>Steven</t>
        </is>
      </c>
      <c r="B34" s="7">
        <f>SUM(Competitie!B33:Q33)</f>
        <v/>
      </c>
      <c r="C34" s="7" t="n"/>
      <c r="D34" s="7" t="n"/>
      <c r="E34" s="7" t="n"/>
      <c r="F34" s="7" t="n"/>
      <c r="G34" s="7" t="n"/>
      <c r="H34" s="7">
        <f>SUM(Training!B33:P33)</f>
        <v/>
      </c>
      <c r="I34" s="7">
        <f>SUM(Oefen!B34:O34)</f>
        <v/>
      </c>
      <c r="J34" s="7" t="n"/>
      <c r="K34" s="7" t="n"/>
      <c r="L34" s="7" t="n"/>
      <c r="M34" s="7" t="n"/>
      <c r="N34" s="7" t="n"/>
    </row>
    <row r="35">
      <c r="A35" s="7" t="inlineStr">
        <is>
          <t>Thijs</t>
        </is>
      </c>
      <c r="B35" s="7">
        <f>SUM(Competitie!B34:Q34)</f>
        <v/>
      </c>
      <c r="C35" s="7" t="n"/>
      <c r="D35" s="7" t="n"/>
      <c r="E35" s="7" t="n"/>
      <c r="F35" s="7" t="n"/>
      <c r="G35" s="7" t="n"/>
      <c r="H35" s="7">
        <f>SUM(Training!B34:P34)</f>
        <v/>
      </c>
      <c r="I35" s="7">
        <f>SUM(Oefen!B35:O35)</f>
        <v/>
      </c>
      <c r="J35" s="7" t="n"/>
      <c r="K35" s="7" t="n"/>
      <c r="L35" s="7" t="n"/>
      <c r="M35" s="7" t="n"/>
      <c r="N35" s="7" t="n"/>
    </row>
    <row r="36">
      <c r="A36" s="7" t="inlineStr">
        <is>
          <t>Tom</t>
        </is>
      </c>
      <c r="B36" s="7">
        <f>SUM(Competitie!B35:Q35)</f>
        <v/>
      </c>
      <c r="C36" s="7" t="n">
        <v>8</v>
      </c>
      <c r="D36" s="7" t="n">
        <v>3</v>
      </c>
      <c r="E36" s="7" t="n"/>
      <c r="F36" s="7" t="n"/>
      <c r="G36" s="7" t="n">
        <v>1</v>
      </c>
      <c r="H36" s="7">
        <f>SUM(Training!B35:P35)</f>
        <v/>
      </c>
      <c r="I36" s="7">
        <f>SUM(Oefen!B36:O36)</f>
        <v/>
      </c>
      <c r="J36" s="7" t="n"/>
      <c r="K36" s="7" t="n"/>
      <c r="L36" s="7" t="n"/>
      <c r="M36" s="7" t="n"/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8" t="inlineStr">
        <is>
          <t>Totaal</t>
        </is>
      </c>
      <c r="B38" s="8">
        <f>SUM(B3:B36)/990</f>
        <v/>
      </c>
      <c r="C38" s="8">
        <f>SUM(C3:C36)</f>
        <v/>
      </c>
      <c r="D38" s="8">
        <f>SUM(D3:D36)</f>
        <v/>
      </c>
      <c r="E38" s="8">
        <f>SUM(E3:E36)</f>
        <v/>
      </c>
      <c r="F38" s="8">
        <f>SUM(F3:F36)</f>
        <v/>
      </c>
      <c r="G38" s="8">
        <f>SUM(G3:G36)</f>
        <v/>
      </c>
      <c r="H38" s="8" t="n"/>
      <c r="I38" s="8">
        <f>SUM(I3:I36)/990</f>
        <v/>
      </c>
      <c r="J38" s="8">
        <f>SUM(J3:J36)</f>
        <v/>
      </c>
      <c r="K38" s="8">
        <f>SUM(K3:K36)</f>
        <v/>
      </c>
      <c r="L38" s="8">
        <f>SUM(L3:L36)</f>
        <v/>
      </c>
      <c r="M38" s="8">
        <f>SUM(M3:M36)</f>
        <v/>
      </c>
      <c r="N38" s="8">
        <f>SUM(N3:N36)</f>
        <v/>
      </c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</sheetData>
  <autoFilter ref="$A$2:$N$36"/>
  <mergeCells count="2">
    <mergeCell ref="I1:N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49"/>
  <sheetViews>
    <sheetView workbookViewId="0">
      <selection activeCell="A1" sqref="A1"/>
    </sheetView>
  </sheetViews>
  <sheetFormatPr baseColWidth="8" defaultColWidth="12.63" defaultRowHeight="15.75" customHeight="1"/>
  <cols>
    <col width="8.880000000000001" customWidth="1" style="15" min="2" max="2"/>
    <col width="7.88" customWidth="1" style="15" min="3" max="3"/>
    <col width="8.75" customWidth="1" style="15" min="4" max="5"/>
    <col width="7.5" customWidth="1" style="15" min="6" max="7"/>
    <col width="8.380000000000001" customWidth="1" style="15" min="8" max="10"/>
    <col width="8" customWidth="1" style="15" min="11" max="11"/>
    <col width="8.880000000000001" customWidth="1" style="15" min="12" max="14"/>
    <col width="7.88" customWidth="1" style="15" min="15" max="15"/>
    <col width="8.75" customWidth="1" style="15" min="16" max="16"/>
    <col width="6.38" customWidth="1" style="15" min="17" max="25"/>
  </cols>
  <sheetData>
    <row r="1">
      <c r="A1" s="8" t="inlineStr">
        <is>
          <t>Naam</t>
        </is>
      </c>
      <c r="B1" s="9" t="n">
        <v>46261</v>
      </c>
      <c r="C1" s="9" t="n">
        <v>46268</v>
      </c>
      <c r="D1" s="9" t="n">
        <v>46282</v>
      </c>
      <c r="E1" s="9" t="n">
        <v>46289</v>
      </c>
      <c r="F1" s="9" t="n">
        <v>46296</v>
      </c>
      <c r="G1" s="9" t="n">
        <v>46303</v>
      </c>
      <c r="H1" s="9" t="n">
        <v>46310</v>
      </c>
      <c r="I1" s="9" t="n">
        <v>46317</v>
      </c>
      <c r="J1" s="9" t="n">
        <v>46324</v>
      </c>
      <c r="K1" s="9" t="n">
        <v>46331</v>
      </c>
      <c r="L1" s="9" t="n">
        <v>46338</v>
      </c>
      <c r="M1" s="9" t="n">
        <v>46345</v>
      </c>
      <c r="N1" s="9" t="n">
        <v>46352</v>
      </c>
      <c r="O1" s="9" t="n">
        <v>46359</v>
      </c>
      <c r="P1" s="9" t="n">
        <v>46366</v>
      </c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>
      <c r="A2" s="7" t="inlineStr">
        <is>
          <t>Barry</t>
        </is>
      </c>
      <c r="B2" s="7" t="n">
        <v>0</v>
      </c>
      <c r="C2" s="7" t="n">
        <v>1</v>
      </c>
      <c r="D2" s="7" t="n">
        <v>1</v>
      </c>
      <c r="E2" s="7" t="n">
        <v>0</v>
      </c>
      <c r="F2" s="7" t="n">
        <v>1</v>
      </c>
      <c r="G2" s="7" t="n">
        <v>1</v>
      </c>
      <c r="H2" s="7" t="n">
        <v>0</v>
      </c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s="7" t="inlineStr">
        <is>
          <t>Brahim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7" t="inlineStr">
        <is>
          <t>Bert</t>
        </is>
      </c>
      <c r="B4" s="7" t="n">
        <v>0</v>
      </c>
      <c r="C4" s="7" t="n">
        <v>0</v>
      </c>
      <c r="D4" s="7" t="n">
        <v>1</v>
      </c>
      <c r="E4" s="7" t="n">
        <v>0</v>
      </c>
      <c r="F4" s="7" t="n">
        <v>0</v>
      </c>
      <c r="G4" s="7" t="n">
        <v>0</v>
      </c>
      <c r="H4" s="7" t="n">
        <v>0</v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7" t="inlineStr">
        <is>
          <t>Daan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7" t="inlineStr">
        <is>
          <t>Dirk</t>
        </is>
      </c>
      <c r="B6" s="7" t="n">
        <v>1</v>
      </c>
      <c r="C6" s="7" t="n">
        <v>0</v>
      </c>
      <c r="D6" s="7" t="n">
        <v>1</v>
      </c>
      <c r="E6" s="7" t="n">
        <v>0</v>
      </c>
      <c r="F6" s="7" t="n">
        <v>0</v>
      </c>
      <c r="G6" s="7" t="n">
        <v>0</v>
      </c>
      <c r="H6" s="7" t="n">
        <v>1</v>
      </c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inlineStr">
        <is>
          <t>Eddy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inlineStr">
        <is>
          <t>Elwin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inlineStr">
        <is>
          <t>Erwin</t>
        </is>
      </c>
      <c r="B9" s="7" t="n">
        <v>1</v>
      </c>
      <c r="C9" s="7" t="n">
        <v>0</v>
      </c>
      <c r="D9" s="7" t="n">
        <v>1</v>
      </c>
      <c r="E9" s="7" t="n">
        <v>1</v>
      </c>
      <c r="F9" s="7" t="n">
        <v>1</v>
      </c>
      <c r="G9" s="7" t="n">
        <v>0</v>
      </c>
      <c r="H9" s="7" t="n">
        <v>1</v>
      </c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inlineStr">
        <is>
          <t>Felix</t>
        </is>
      </c>
      <c r="B10" s="7" t="n">
        <v>0</v>
      </c>
      <c r="C10" s="7" t="n">
        <v>0</v>
      </c>
      <c r="D10" s="7" t="n">
        <v>1</v>
      </c>
      <c r="E10" s="7" t="n">
        <v>0</v>
      </c>
      <c r="F10" s="7" t="n">
        <v>0</v>
      </c>
      <c r="G10" s="7" t="n">
        <v>0</v>
      </c>
      <c r="H10" s="7" t="n">
        <v>0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inlineStr">
        <is>
          <t>Hanna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inlineStr">
        <is>
          <t>Jan</t>
        </is>
      </c>
      <c r="B12" s="7" t="n">
        <v>0</v>
      </c>
      <c r="C12" s="7" t="n">
        <v>0</v>
      </c>
      <c r="D12" s="7" t="n">
        <v>0</v>
      </c>
      <c r="E12" s="7" t="n">
        <v>1</v>
      </c>
      <c r="F12" s="7" t="n">
        <v>1</v>
      </c>
      <c r="G12" s="7" t="n">
        <v>1</v>
      </c>
      <c r="H12" s="7" t="n">
        <v>0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inlineStr">
        <is>
          <t>Jelmer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inlineStr">
        <is>
          <t>Jesse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inlineStr">
        <is>
          <t>Joey H.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inlineStr">
        <is>
          <t>Joey K.</t>
        </is>
      </c>
      <c r="B16" s="7" t="n">
        <v>0</v>
      </c>
      <c r="C16" s="7" t="n">
        <v>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inlineStr">
        <is>
          <t>Joost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1</v>
      </c>
      <c r="G17" s="7" t="n">
        <v>1</v>
      </c>
      <c r="H17" s="7" t="n">
        <v>1</v>
      </c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inlineStr">
        <is>
          <t>Jur</t>
        </is>
      </c>
      <c r="B18" s="7" t="n">
        <v>1</v>
      </c>
      <c r="C18" s="7" t="n">
        <v>0</v>
      </c>
      <c r="D18" s="7" t="n">
        <v>0</v>
      </c>
      <c r="E18" s="7" t="n">
        <v>1</v>
      </c>
      <c r="F18" s="7" t="n">
        <v>1</v>
      </c>
      <c r="G18" s="7" t="n">
        <v>0</v>
      </c>
      <c r="H18" s="7" t="n">
        <v>1</v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inlineStr">
        <is>
          <t>Justus</t>
        </is>
      </c>
      <c r="B19" s="7" t="n">
        <v>1</v>
      </c>
      <c r="C19" s="7" t="n">
        <v>0</v>
      </c>
      <c r="D19" s="7" t="n">
        <v>1</v>
      </c>
      <c r="E19" s="7" t="n">
        <v>0</v>
      </c>
      <c r="F19" s="7" t="n">
        <v>1</v>
      </c>
      <c r="G19" s="7" t="n">
        <v>1</v>
      </c>
      <c r="H19" s="7" t="n">
        <v>1</v>
      </c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inlineStr">
        <is>
          <t>Kris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inlineStr">
        <is>
          <t>Lars</t>
        </is>
      </c>
      <c r="B21" s="7" t="n">
        <v>1</v>
      </c>
      <c r="C21" s="7" t="n">
        <v>1</v>
      </c>
      <c r="D21" s="7" t="n">
        <v>1</v>
      </c>
      <c r="E21" s="7" t="n">
        <v>1</v>
      </c>
      <c r="F21" s="7" t="n">
        <v>0</v>
      </c>
      <c r="G21" s="7" t="n">
        <v>1</v>
      </c>
      <c r="H21" s="7" t="n">
        <v>1</v>
      </c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inlineStr">
        <is>
          <t>Mark</t>
        </is>
      </c>
      <c r="B22" s="7" t="n">
        <v>0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inlineStr">
        <is>
          <t>Matthijs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inlineStr">
        <is>
          <t>Milan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inlineStr">
        <is>
          <t>Niels v. B.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inlineStr">
        <is>
          <t>Niels B.</t>
        </is>
      </c>
      <c r="B26" s="7" t="n">
        <v>0</v>
      </c>
      <c r="C26" s="7" t="n">
        <v>0</v>
      </c>
      <c r="D26" s="7" t="n">
        <v>1</v>
      </c>
      <c r="E26" s="7" t="n">
        <v>0</v>
      </c>
      <c r="F26" s="7" t="n">
        <v>0</v>
      </c>
      <c r="G26" s="7" t="n">
        <v>1</v>
      </c>
      <c r="H26" s="7" t="n">
        <v>1</v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inlineStr">
        <is>
          <t>Paul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inlineStr">
        <is>
          <t>Peter</t>
        </is>
      </c>
      <c r="B28" s="7" t="n">
        <v>0</v>
      </c>
      <c r="C28" s="7" t="n">
        <v>1</v>
      </c>
      <c r="D28" s="7" t="n">
        <v>1</v>
      </c>
      <c r="E28" s="7" t="n">
        <v>1</v>
      </c>
      <c r="F28" s="7" t="n">
        <v>1</v>
      </c>
      <c r="G28" s="7" t="n">
        <v>0</v>
      </c>
      <c r="H28" s="7" t="n">
        <v>1</v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inlineStr">
        <is>
          <t>Robert H.</t>
        </is>
      </c>
      <c r="B29" s="7" t="n">
        <v>1</v>
      </c>
      <c r="C29" s="7" t="n">
        <v>1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inlineStr">
        <is>
          <t>Robin v. B.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inlineStr">
        <is>
          <t>Robin E.</t>
        </is>
      </c>
      <c r="B31" s="7" t="n">
        <v>0</v>
      </c>
      <c r="C31" s="7" t="n">
        <v>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inlineStr">
        <is>
          <t>Sander</t>
        </is>
      </c>
      <c r="B32" s="7" t="n">
        <v>1</v>
      </c>
      <c r="C32" s="7" t="n">
        <v>1</v>
      </c>
      <c r="D32" s="7" t="n">
        <v>1</v>
      </c>
      <c r="E32" s="7" t="n">
        <v>1</v>
      </c>
      <c r="F32" s="7" t="n">
        <v>1</v>
      </c>
      <c r="G32" s="7" t="n">
        <v>1</v>
      </c>
      <c r="H32" s="7" t="n">
        <v>0</v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inlineStr">
        <is>
          <t>Steven</t>
        </is>
      </c>
      <c r="B33" s="7" t="n">
        <v>0</v>
      </c>
      <c r="C33" s="7" t="n">
        <v>1</v>
      </c>
      <c r="D33" s="7" t="n">
        <v>0</v>
      </c>
      <c r="E33" s="7" t="n">
        <v>0</v>
      </c>
      <c r="F33" s="7" t="n">
        <v>1</v>
      </c>
      <c r="G33" s="7" t="n">
        <v>0</v>
      </c>
      <c r="H33" s="7" t="n">
        <v>0</v>
      </c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inlineStr">
        <is>
          <t>Thijs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inlineStr">
        <is>
          <t>Tom</t>
        </is>
      </c>
      <c r="B35" s="7" t="n">
        <v>0</v>
      </c>
      <c r="C35" s="7" t="n">
        <v>1</v>
      </c>
      <c r="D35" s="7" t="n">
        <v>0</v>
      </c>
      <c r="E35" s="7" t="n">
        <v>0</v>
      </c>
      <c r="F35" s="7" t="n">
        <v>0</v>
      </c>
      <c r="G35" s="7" t="n">
        <v>1</v>
      </c>
      <c r="H35" s="7" t="n">
        <v>1</v>
      </c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8" t="inlineStr">
        <is>
          <t>Totaal</t>
        </is>
      </c>
      <c r="B37" s="8">
        <f>SUM(B2:B35)</f>
        <v/>
      </c>
      <c r="C37" s="8">
        <f>SUM(C2:C35)</f>
        <v/>
      </c>
      <c r="D37" s="8">
        <f>SUM(D2:D35)</f>
        <v/>
      </c>
      <c r="E37" s="8">
        <f>SUM(E2:E35)</f>
        <v/>
      </c>
      <c r="F37" s="8">
        <f>SUM(F2:F35)</f>
        <v/>
      </c>
      <c r="G37" s="8">
        <f>SUM(G2:G35)</f>
        <v/>
      </c>
      <c r="H37" s="8">
        <f>SUM(H2:H35)</f>
        <v/>
      </c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</sheetData>
  <autoFilter ref="$A$1:$P$35">
    <sortState ref="A1:P35">
      <sortCondition ref="A1:A35"/>
    </sortState>
  </autoFilter>
  <conditionalFormatting sqref="B1:P1019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46"/>
  <sheetViews>
    <sheetView workbookViewId="0">
      <selection activeCell="A1" sqref="A1"/>
    </sheetView>
  </sheetViews>
  <sheetFormatPr baseColWidth="8" defaultColWidth="12.63" defaultRowHeight="15.75" customHeight="1"/>
  <cols>
    <col width="6.25" customWidth="1" style="15" min="2" max="17"/>
  </cols>
  <sheetData>
    <row r="1">
      <c r="A1" s="8" t="inlineStr">
        <is>
          <t>Naam</t>
        </is>
      </c>
      <c r="B1" s="9" t="n">
        <v>46284</v>
      </c>
      <c r="C1" s="9" t="n">
        <v>46291</v>
      </c>
      <c r="D1" s="9" t="n">
        <v>46298</v>
      </c>
      <c r="E1" s="9" t="n">
        <v>46305</v>
      </c>
      <c r="F1" s="9" t="n">
        <v>46312</v>
      </c>
      <c r="G1" s="9" t="n">
        <v>46319</v>
      </c>
      <c r="H1" s="9" t="n">
        <v>46326</v>
      </c>
      <c r="I1" s="9" t="n">
        <v>46333</v>
      </c>
      <c r="J1" s="9" t="n">
        <v>46340</v>
      </c>
      <c r="K1" s="9" t="n">
        <v>46347</v>
      </c>
      <c r="L1" s="9" t="n">
        <v>46354</v>
      </c>
      <c r="M1" s="9" t="n">
        <v>46361</v>
      </c>
      <c r="N1" s="9" t="n">
        <v>46368</v>
      </c>
      <c r="O1" s="9" t="n">
        <v>46375</v>
      </c>
      <c r="P1" s="9" t="n">
        <v>46382</v>
      </c>
      <c r="Q1" s="9" t="n">
        <v>46389</v>
      </c>
    </row>
    <row r="2">
      <c r="A2" s="7" t="inlineStr">
        <is>
          <t>Barry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inlineStr">
        <is>
          <t>Brahim</t>
        </is>
      </c>
      <c r="B3" s="7" t="n">
        <v>0</v>
      </c>
      <c r="C3" s="7" t="n">
        <v>0</v>
      </c>
      <c r="D3" s="7" t="n">
        <v>45</v>
      </c>
      <c r="E3" s="7" t="n">
        <v>0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inlineStr">
        <is>
          <t>Bert</t>
        </is>
      </c>
      <c r="B4" s="7" t="n">
        <v>20</v>
      </c>
      <c r="C4" s="7" t="n">
        <v>0</v>
      </c>
      <c r="D4" s="7" t="n">
        <v>0</v>
      </c>
      <c r="E4" s="7" t="n">
        <v>0</v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inlineStr">
        <is>
          <t>Daan</t>
        </is>
      </c>
      <c r="B5" s="7" t="n">
        <v>90</v>
      </c>
      <c r="C5" s="7" t="n">
        <v>0</v>
      </c>
      <c r="D5" s="7" t="n">
        <v>0</v>
      </c>
      <c r="E5" s="7" t="n">
        <v>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inlineStr">
        <is>
          <t>Dirk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inlineStr">
        <is>
          <t>Eddy</t>
        </is>
      </c>
      <c r="B7" s="7" t="n">
        <v>0</v>
      </c>
      <c r="C7" s="7" t="n">
        <v>30</v>
      </c>
      <c r="D7" s="7" t="n">
        <v>90</v>
      </c>
      <c r="E7" s="7" t="n">
        <v>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inlineStr">
        <is>
          <t>Elwin</t>
        </is>
      </c>
      <c r="B8" s="7" t="n">
        <v>45</v>
      </c>
      <c r="C8" s="7" t="n">
        <v>0</v>
      </c>
      <c r="D8" s="7" t="n">
        <v>0</v>
      </c>
      <c r="E8" s="7" t="n">
        <v>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inlineStr">
        <is>
          <t>Erwin</t>
        </is>
      </c>
      <c r="B9" s="7" t="n">
        <v>45</v>
      </c>
      <c r="C9" s="7" t="n">
        <v>90</v>
      </c>
      <c r="D9" s="7" t="n">
        <v>45</v>
      </c>
      <c r="E9" s="7" t="n">
        <v>45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inlineStr">
        <is>
          <t>Felix</t>
        </is>
      </c>
      <c r="B10" s="7" t="n">
        <v>70</v>
      </c>
      <c r="C10" s="7" t="n">
        <v>0</v>
      </c>
      <c r="D10" s="7" t="n">
        <v>0</v>
      </c>
      <c r="E10" s="7" t="n">
        <v>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inlineStr">
        <is>
          <t>Hanna</t>
        </is>
      </c>
      <c r="B11" s="7" t="n">
        <v>45</v>
      </c>
      <c r="C11" s="7" t="n">
        <v>0</v>
      </c>
      <c r="D11" s="7" t="n">
        <v>90</v>
      </c>
      <c r="E11" s="7" t="n">
        <v>60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inlineStr">
        <is>
          <t>Jan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inlineStr">
        <is>
          <t>Jelmer</t>
        </is>
      </c>
      <c r="B13" s="7" t="n">
        <v>0</v>
      </c>
      <c r="C13" s="7" t="n">
        <v>0</v>
      </c>
      <c r="D13" s="7" t="n">
        <v>0</v>
      </c>
      <c r="E13" s="7" t="n">
        <v>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inlineStr">
        <is>
          <t>Jesse</t>
        </is>
      </c>
      <c r="B14" s="7" t="n">
        <v>0</v>
      </c>
      <c r="C14" s="7" t="n">
        <v>90</v>
      </c>
      <c r="D14" s="7" t="n">
        <v>0</v>
      </c>
      <c r="E14" s="7" t="n">
        <v>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inlineStr">
        <is>
          <t>Joey H.</t>
        </is>
      </c>
      <c r="B15" s="7" t="n">
        <v>0</v>
      </c>
      <c r="C15" s="7" t="n">
        <v>45</v>
      </c>
      <c r="D15" s="7" t="n">
        <v>0</v>
      </c>
      <c r="E15" s="7" t="n">
        <v>45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inlineStr">
        <is>
          <t>Joey K.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inlineStr">
        <is>
          <t>Joost</t>
        </is>
      </c>
      <c r="B17" s="7" t="n">
        <v>0</v>
      </c>
      <c r="C17" s="7" t="n">
        <v>0</v>
      </c>
      <c r="D17" s="7" t="n">
        <v>30</v>
      </c>
      <c r="E17" s="7" t="n">
        <v>90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inlineStr">
        <is>
          <t>Jur</t>
        </is>
      </c>
      <c r="B18" s="7" t="n">
        <v>45</v>
      </c>
      <c r="C18" s="7" t="n">
        <v>60</v>
      </c>
      <c r="D18" s="7" t="n">
        <v>90</v>
      </c>
      <c r="E18" s="7" t="n">
        <v>90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inlineStr">
        <is>
          <t>Justus</t>
        </is>
      </c>
      <c r="B19" s="7" t="n">
        <v>45</v>
      </c>
      <c r="C19" s="7" t="n">
        <v>0</v>
      </c>
      <c r="D19" s="7" t="n">
        <v>90</v>
      </c>
      <c r="E19" s="7" t="n">
        <v>45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inlineStr">
        <is>
          <t>Kris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inlineStr">
        <is>
          <t>Lars</t>
        </is>
      </c>
      <c r="B21" s="7" t="n">
        <v>90</v>
      </c>
      <c r="C21" s="7" t="n">
        <v>30</v>
      </c>
      <c r="D21" s="7" t="n">
        <v>45</v>
      </c>
      <c r="E21" s="7" t="n">
        <v>90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inlineStr">
        <is>
          <t>Mark</t>
        </is>
      </c>
      <c r="B22" s="7" t="n">
        <v>90</v>
      </c>
      <c r="C22" s="7" t="n">
        <v>90</v>
      </c>
      <c r="D22" s="7" t="n">
        <v>60</v>
      </c>
      <c r="E22" s="7" t="n">
        <v>90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inlineStr">
        <is>
          <t>Matthijs</t>
        </is>
      </c>
      <c r="B23" s="7" t="n">
        <v>45</v>
      </c>
      <c r="C23" s="7" t="n">
        <v>90</v>
      </c>
      <c r="D23" s="7" t="n">
        <v>0</v>
      </c>
      <c r="E23" s="7" t="n">
        <v>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inlineStr">
        <is>
          <t>Milan</t>
        </is>
      </c>
      <c r="B24" s="7" t="n">
        <v>0</v>
      </c>
      <c r="C24" s="7" t="n">
        <v>90</v>
      </c>
      <c r="D24" s="7" t="n">
        <v>0</v>
      </c>
      <c r="E24" s="7" t="n">
        <v>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inlineStr">
        <is>
          <t>Niels v. B.</t>
        </is>
      </c>
      <c r="B25" s="7" t="n">
        <v>90</v>
      </c>
      <c r="C25" s="7" t="n">
        <v>45</v>
      </c>
      <c r="D25" s="7" t="n">
        <v>90</v>
      </c>
      <c r="E25" s="7" t="n">
        <v>45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inlineStr">
        <is>
          <t>Niels B.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inlineStr">
        <is>
          <t>Paul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inlineStr">
        <is>
          <t>Peter</t>
        </is>
      </c>
      <c r="B28" s="7" t="n">
        <v>90</v>
      </c>
      <c r="C28" s="7" t="n">
        <v>0</v>
      </c>
      <c r="D28" s="7" t="n">
        <v>45</v>
      </c>
      <c r="E28" s="7" t="n">
        <v>90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inlineStr">
        <is>
          <t>Robert H.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inlineStr">
        <is>
          <t>Robin v. B.</t>
        </is>
      </c>
      <c r="B30" s="7" t="n">
        <v>0</v>
      </c>
      <c r="C30" s="7" t="n">
        <v>90</v>
      </c>
      <c r="D30" s="7" t="n">
        <v>90</v>
      </c>
      <c r="E30" s="7" t="n">
        <v>90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inlineStr">
        <is>
          <t>Robin E.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inlineStr">
        <is>
          <t>Sander</t>
        </is>
      </c>
      <c r="B32" s="7" t="n">
        <v>90</v>
      </c>
      <c r="C32" s="7" t="n">
        <v>90</v>
      </c>
      <c r="D32" s="7" t="n">
        <v>90</v>
      </c>
      <c r="E32" s="7" t="n">
        <v>90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inlineStr">
        <is>
          <t>Steven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inlineStr">
        <is>
          <t>Thijs</t>
        </is>
      </c>
      <c r="B34" s="7" t="n">
        <v>0</v>
      </c>
      <c r="C34" s="7" t="n">
        <v>60</v>
      </c>
      <c r="D34" s="7" t="n">
        <v>0</v>
      </c>
      <c r="E34" s="7" t="n">
        <v>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inlineStr">
        <is>
          <t>Tom</t>
        </is>
      </c>
      <c r="B35" s="7" t="n">
        <v>90</v>
      </c>
      <c r="C35" s="7" t="n">
        <v>90</v>
      </c>
      <c r="D35" s="7" t="n">
        <v>90</v>
      </c>
      <c r="E35" s="7" t="n">
        <v>90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8" t="inlineStr">
        <is>
          <t>Totaal</t>
        </is>
      </c>
      <c r="B37" s="8">
        <f>SUM(B2:B35)</f>
        <v/>
      </c>
      <c r="C37" s="8">
        <f>SUM(C2:C35)</f>
        <v/>
      </c>
      <c r="D37" s="8">
        <f>SUM(D2:D35)</f>
        <v/>
      </c>
      <c r="E37" s="8">
        <f>SUM(E2:E35)</f>
        <v/>
      </c>
      <c r="F37" s="8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46"/>
  <sheetViews>
    <sheetView workbookViewId="0">
      <selection activeCell="A1" sqref="A1"/>
    </sheetView>
  </sheetViews>
  <sheetFormatPr baseColWidth="8" defaultColWidth="12.63" defaultRowHeight="15.75" customHeight="1"/>
  <cols>
    <col width="6.25" customWidth="1" style="15" min="2" max="17"/>
  </cols>
  <sheetData>
    <row r="1">
      <c r="A1" s="8" t="inlineStr">
        <is>
          <t>Naam</t>
        </is>
      </c>
      <c r="B1" s="9" t="n">
        <v>46274</v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</row>
    <row r="2">
      <c r="A2" s="7" t="inlineStr">
        <is>
          <t>Barry</t>
        </is>
      </c>
      <c r="B2" s="7" t="n">
        <v>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inlineStr">
        <is>
          <t>Brahim</t>
        </is>
      </c>
      <c r="B3" s="7" t="n">
        <v>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inlineStr">
        <is>
          <t>Bert</t>
        </is>
      </c>
      <c r="B4" s="7" t="n">
        <v>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inlineStr">
        <is>
          <t>Daan</t>
        </is>
      </c>
      <c r="B5" s="7" t="n">
        <v>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inlineStr">
        <is>
          <t>Dirk</t>
        </is>
      </c>
      <c r="B6" s="7" t="n">
        <v>45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inlineStr">
        <is>
          <t>Eddy</t>
        </is>
      </c>
      <c r="B7" s="7" t="n">
        <v>90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inlineStr">
        <is>
          <t>Elwin</t>
        </is>
      </c>
      <c r="B8" s="7" t="n">
        <v>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inlineStr">
        <is>
          <t>Erwin</t>
        </is>
      </c>
      <c r="B9" s="7" t="n">
        <v>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inlineStr">
        <is>
          <t>Felix</t>
        </is>
      </c>
      <c r="B10" s="7" t="n">
        <v>45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inlineStr">
        <is>
          <t>Hanna</t>
        </is>
      </c>
      <c r="B11" s="7" t="n">
        <v>60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inlineStr">
        <is>
          <t>Jan</t>
        </is>
      </c>
      <c r="B12" s="7" t="n">
        <v>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inlineStr">
        <is>
          <t>Jelmer</t>
        </is>
      </c>
      <c r="B13" s="7" t="n">
        <v>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inlineStr">
        <is>
          <t>Jesse</t>
        </is>
      </c>
      <c r="B14" s="7" t="n">
        <v>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inlineStr">
        <is>
          <t>Joey H.</t>
        </is>
      </c>
      <c r="B15" s="7" t="n">
        <v>45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inlineStr">
        <is>
          <t>Joey K.</t>
        </is>
      </c>
      <c r="B16" s="7" t="n">
        <v>45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inlineStr">
        <is>
          <t>Joost</t>
        </is>
      </c>
      <c r="B17" s="7" t="n">
        <v>90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inlineStr">
        <is>
          <t>Jur</t>
        </is>
      </c>
      <c r="B18" s="7" t="n">
        <v>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inlineStr">
        <is>
          <t>Justus</t>
        </is>
      </c>
      <c r="B19" s="7" t="n">
        <v>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inlineStr">
        <is>
          <t>Kris</t>
        </is>
      </c>
      <c r="B20" s="7" t="n">
        <v>30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inlineStr">
        <is>
          <t>Lars</t>
        </is>
      </c>
      <c r="B21" s="7" t="n">
        <v>90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inlineStr">
        <is>
          <t>Mark</t>
        </is>
      </c>
      <c r="B22" s="7" t="n">
        <v>90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inlineStr">
        <is>
          <t>Matthijs</t>
        </is>
      </c>
      <c r="B23" s="7" t="n">
        <v>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inlineStr">
        <is>
          <t>Milan</t>
        </is>
      </c>
      <c r="B24" s="7" t="n">
        <v>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inlineStr">
        <is>
          <t>Niels v. B.</t>
        </is>
      </c>
      <c r="B25" s="7" t="n">
        <v>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inlineStr">
        <is>
          <t>Niels B.</t>
        </is>
      </c>
      <c r="B26" s="7" t="n">
        <v>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inlineStr">
        <is>
          <t>Paul</t>
        </is>
      </c>
      <c r="B27" s="7" t="n">
        <v>45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inlineStr">
        <is>
          <t>Peter</t>
        </is>
      </c>
      <c r="B28" s="7" t="n">
        <v>90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inlineStr">
        <is>
          <t>Robert H.</t>
        </is>
      </c>
      <c r="B29" s="7" t="n">
        <v>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inlineStr">
        <is>
          <t>Robin v. B.</t>
        </is>
      </c>
      <c r="B30" s="7" t="n">
        <v>90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inlineStr">
        <is>
          <t>Robin E.</t>
        </is>
      </c>
      <c r="B31" s="7" t="n">
        <v>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inlineStr">
        <is>
          <t>Sander</t>
        </is>
      </c>
      <c r="B32" s="7" t="n">
        <v>90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inlineStr">
        <is>
          <t>Steven</t>
        </is>
      </c>
      <c r="B33" s="7" t="n">
        <v>45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inlineStr">
        <is>
          <t>Thijs</t>
        </is>
      </c>
      <c r="B34" s="7" t="n">
        <v>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inlineStr">
        <is>
          <t>Tom</t>
        </is>
      </c>
      <c r="B35" s="7" t="n">
        <v>0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27"/>
  <sheetViews>
    <sheetView workbookViewId="0">
      <selection activeCell="A1" sqref="A1"/>
    </sheetView>
  </sheetViews>
  <sheetFormatPr baseColWidth="8" defaultColWidth="12.63" defaultRowHeight="15.75" customHeight="1"/>
  <cols>
    <col width="10.75" customWidth="1" style="15" min="1" max="1"/>
    <col width="9" customWidth="1" style="15" min="2" max="2"/>
    <col width="15.5" customWidth="1" style="15" min="3" max="3"/>
    <col width="5.13" customWidth="1" style="15" min="4" max="4"/>
    <col width="6.5" customWidth="1" style="15" min="5" max="5"/>
    <col width="33.5" customWidth="1" style="15" min="6" max="6"/>
    <col width="27.63" customWidth="1" style="15" min="7" max="7"/>
  </cols>
  <sheetData>
    <row r="1">
      <c r="A1" s="8" t="inlineStr">
        <is>
          <t>Datum</t>
        </is>
      </c>
      <c r="B1" s="8" t="inlineStr">
        <is>
          <t>Soort</t>
        </is>
      </c>
      <c r="C1" s="8" t="inlineStr">
        <is>
          <t>Tegenstander</t>
        </is>
      </c>
      <c r="D1" s="8" t="inlineStr">
        <is>
          <t>Waar</t>
        </is>
      </c>
      <c r="E1" s="8" t="inlineStr">
        <is>
          <t>Uitslag</t>
        </is>
      </c>
      <c r="F1" s="8" t="inlineStr">
        <is>
          <t>Stats</t>
        </is>
      </c>
      <c r="G1" s="8" t="inlineStr">
        <is>
          <t>Bijzonderheden</t>
        </is>
      </c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</row>
    <row r="2">
      <c r="A2" s="12" t="n">
        <v>46274.84375</v>
      </c>
      <c r="B2" s="7" t="inlineStr">
        <is>
          <t>Oefen</t>
        </is>
      </c>
      <c r="C2" s="7" t="inlineStr">
        <is>
          <t>Woudenberg JO-19</t>
        </is>
      </c>
      <c r="D2" s="7" t="inlineStr">
        <is>
          <t>Thuis</t>
        </is>
      </c>
      <c r="E2" s="7" t="inlineStr">
        <is>
          <t>5-0 (W)</t>
        </is>
      </c>
      <c r="F2" s="7" t="inlineStr">
        <is>
          <t>Doelpunten: Joost, Felix, Paul, Joey H., Kris
Assists: Mark 2x, Eddy
Snuiter: Lars</t>
        </is>
      </c>
      <c r="G2" s="7" t="n"/>
    </row>
    <row r="3">
      <c r="A3" s="12" t="n">
        <v>46284.47916666666</v>
      </c>
      <c r="B3" s="7" t="inlineStr">
        <is>
          <t>Competitie</t>
        </is>
      </c>
      <c r="C3" s="7" t="inlineStr">
        <is>
          <t>VVZA 2</t>
        </is>
      </c>
      <c r="D3" s="7" t="inlineStr">
        <is>
          <t>Uit</t>
        </is>
      </c>
      <c r="E3" s="7" t="inlineStr">
        <is>
          <t>2-2 (G)</t>
        </is>
      </c>
      <c r="F3" s="7" t="inlineStr">
        <is>
          <t>Doelpunten: Tom, Mark
Assists: Matthijs
Snuiter: Mark</t>
        </is>
      </c>
      <c r="G3" s="7" t="inlineStr">
        <is>
          <t>Jur geen kramp. Mark veel gelopen.</t>
        </is>
      </c>
    </row>
    <row r="4">
      <c r="A4" s="12" t="n">
        <v>46291.625</v>
      </c>
      <c r="B4" s="7" t="inlineStr">
        <is>
          <t>Competitie</t>
        </is>
      </c>
      <c r="C4" s="7" t="inlineStr">
        <is>
          <t>CDW 2</t>
        </is>
      </c>
      <c r="D4" s="7" t="inlineStr">
        <is>
          <t>Thuis</t>
        </is>
      </c>
      <c r="E4" s="7" t="inlineStr">
        <is>
          <t>8-1 (W)</t>
        </is>
      </c>
      <c r="F4" s="14" t="inlineStr">
        <is>
          <t>Doelpunten: Mark 2x, Jur, Joey H., Tom, Jesse, Milan, Eddy
Assists: Mark 2x, Sander, Tom
Snuiter: Milan</t>
        </is>
      </c>
      <c r="G4" s="14" t="inlineStr">
        <is>
          <t>Hoop gompies in de selectie. Daardoor aantal leenspelers nodig. Pakt goed uit.</t>
        </is>
      </c>
    </row>
    <row r="5">
      <c r="A5" s="12" t="n">
        <v>46298.63541666666</v>
      </c>
      <c r="B5" s="7" t="inlineStr">
        <is>
          <t>Competitie</t>
        </is>
      </c>
      <c r="C5" s="7" t="inlineStr">
        <is>
          <t>Hooglanderveen 2</t>
        </is>
      </c>
      <c r="D5" s="7" t="inlineStr">
        <is>
          <t>Uit</t>
        </is>
      </c>
      <c r="E5" s="7" t="inlineStr">
        <is>
          <t>0-6 (W)</t>
        </is>
      </c>
      <c r="F5" s="7" t="inlineStr">
        <is>
          <t>Doelpunten: Tom 5x, Robin H. 1x
Assists: Sander 2x, Jur, Niels v. B., Tom
Snuiter: Tom</t>
        </is>
      </c>
      <c r="G5" s="14" t="inlineStr">
        <is>
          <t>Jur kramp, wel hele wedstrijd. Is het dan wel echt kramp?</t>
        </is>
      </c>
    </row>
    <row r="6">
      <c r="A6" s="12" t="n">
        <v>46305.625</v>
      </c>
      <c r="B6" s="7" t="inlineStr">
        <is>
          <t>Competitie</t>
        </is>
      </c>
      <c r="C6" s="7" t="inlineStr">
        <is>
          <t>De Merino's 2</t>
        </is>
      </c>
      <c r="D6" s="7" t="inlineStr">
        <is>
          <t>Thuis</t>
        </is>
      </c>
      <c r="E6" s="7" t="inlineStr">
        <is>
          <t>4-4 (G)</t>
        </is>
      </c>
      <c r="F6" s="7" t="inlineStr">
        <is>
          <t>Doelpunten: Lars, Justus, Tom, Hanna
Assists: Mark 2x, Tom
Snuiter: Lars</t>
        </is>
      </c>
      <c r="G6" s="14" t="inlineStr">
        <is>
          <t>Prima goaltje van Lars. Die horen we voorlopig nog wel ff.</t>
        </is>
      </c>
    </row>
    <row r="7">
      <c r="A7" s="12" t="n">
        <v>46319.58333333334</v>
      </c>
      <c r="B7" s="7" t="n"/>
      <c r="C7" s="7" t="inlineStr">
        <is>
          <t>GVVV 2</t>
        </is>
      </c>
      <c r="D7" s="7" t="inlineStr">
        <is>
          <t>Uit</t>
        </is>
      </c>
      <c r="E7" s="7" t="n"/>
      <c r="F7" s="7" t="n"/>
      <c r="G7" s="14" t="n"/>
    </row>
    <row r="8">
      <c r="A8" s="12" t="n">
        <v>46326.625</v>
      </c>
      <c r="B8" s="7" t="n"/>
      <c r="C8" s="7" t="inlineStr">
        <is>
          <t>VRC 2</t>
        </is>
      </c>
      <c r="D8" s="7" t="inlineStr">
        <is>
          <t>Thuis</t>
        </is>
      </c>
      <c r="E8" s="7" t="n"/>
      <c r="F8" s="7" t="n"/>
      <c r="G8" s="14" t="n"/>
    </row>
    <row r="9">
      <c r="A9" s="12" t="n">
        <v>46333.5</v>
      </c>
      <c r="B9" s="7" t="n"/>
      <c r="C9" s="7" t="inlineStr">
        <is>
          <t>Renswoude 2</t>
        </is>
      </c>
      <c r="D9" s="7" t="inlineStr">
        <is>
          <t>Uit</t>
        </is>
      </c>
      <c r="E9" s="7" t="n"/>
      <c r="F9" s="7" t="n"/>
      <c r="G9" s="14" t="n"/>
    </row>
    <row r="10">
      <c r="A10" s="12" t="n">
        <v>46347.625</v>
      </c>
      <c r="B10" s="7" t="n"/>
      <c r="C10" s="7" t="inlineStr">
        <is>
          <t>Candia '66 2</t>
        </is>
      </c>
      <c r="D10" s="7" t="inlineStr">
        <is>
          <t>Thuis</t>
        </is>
      </c>
      <c r="E10" s="7" t="n"/>
      <c r="F10" s="7" t="n"/>
      <c r="G10" s="14" t="n"/>
    </row>
    <row r="11">
      <c r="A11" s="12" t="n">
        <v>46354.625</v>
      </c>
      <c r="B11" s="7" t="n"/>
      <c r="C11" s="7" t="inlineStr">
        <is>
          <t>Roda '46 3</t>
        </is>
      </c>
      <c r="D11" s="7" t="inlineStr">
        <is>
          <t>Uit</t>
        </is>
      </c>
      <c r="E11" s="7" t="n"/>
      <c r="F11" s="7" t="n"/>
      <c r="G11" s="14" t="n"/>
    </row>
    <row r="12">
      <c r="A12" s="12" t="n">
        <v>46361.60416666666</v>
      </c>
      <c r="B12" s="7" t="n"/>
      <c r="C12" s="7" t="inlineStr">
        <is>
          <t>SVL 2</t>
        </is>
      </c>
      <c r="D12" s="7" t="inlineStr">
        <is>
          <t>Thuis</t>
        </is>
      </c>
      <c r="E12" s="7" t="n"/>
      <c r="F12" s="7" t="n"/>
      <c r="G12" s="14" t="n"/>
    </row>
    <row r="13">
      <c r="A13" s="12" t="n">
        <v>46417.625</v>
      </c>
      <c r="B13" s="7" t="n"/>
      <c r="C13" s="7" t="inlineStr">
        <is>
          <t>VVZA 2</t>
        </is>
      </c>
      <c r="D13" s="7" t="inlineStr">
        <is>
          <t>Thuis</t>
        </is>
      </c>
      <c r="E13" s="7" t="n"/>
      <c r="F13" s="7" t="n"/>
      <c r="G13" s="14" t="n"/>
    </row>
    <row r="14">
      <c r="A14" s="12" t="n">
        <v>46424.5</v>
      </c>
      <c r="B14" s="7" t="n"/>
      <c r="C14" s="7" t="inlineStr">
        <is>
          <t>CDW 2</t>
        </is>
      </c>
      <c r="D14" s="7" t="inlineStr">
        <is>
          <t>Uit</t>
        </is>
      </c>
      <c r="E14" s="7" t="n"/>
      <c r="F14" s="7" t="n"/>
      <c r="G14" s="14" t="n"/>
    </row>
    <row r="15">
      <c r="A15" s="12" t="n">
        <v>46445.60416666666</v>
      </c>
      <c r="B15" s="7" t="n"/>
      <c r="C15" s="7" t="inlineStr">
        <is>
          <t>Valleivogels 3</t>
        </is>
      </c>
      <c r="D15" s="7" t="inlineStr">
        <is>
          <t>Uit</t>
        </is>
      </c>
      <c r="E15" s="7" t="n"/>
      <c r="F15" s="7" t="n"/>
      <c r="G15" s="14" t="n"/>
    </row>
    <row r="16">
      <c r="A16" s="12" t="n">
        <v>46452.625</v>
      </c>
      <c r="B16" s="7" t="n"/>
      <c r="C16" s="7" t="inlineStr">
        <is>
          <t>Hooglanderveen 2</t>
        </is>
      </c>
      <c r="D16" s="7" t="inlineStr">
        <is>
          <t>Thuis</t>
        </is>
      </c>
      <c r="E16" s="7" t="n"/>
      <c r="F16" s="7" t="n"/>
      <c r="G16" s="14" t="n"/>
    </row>
    <row r="17">
      <c r="A17" s="12" t="n">
        <v>46459.48958333334</v>
      </c>
      <c r="B17" s="7" t="n"/>
      <c r="C17" s="7" t="inlineStr">
        <is>
          <t>De Merino's 2</t>
        </is>
      </c>
      <c r="D17" s="7" t="inlineStr">
        <is>
          <t>Uit</t>
        </is>
      </c>
      <c r="E17" s="7" t="n"/>
      <c r="F17" s="7" t="n"/>
      <c r="G17" s="14" t="n"/>
    </row>
    <row r="18">
      <c r="A18" s="12" t="n">
        <v>46466.625</v>
      </c>
      <c r="B18" s="7" t="n"/>
      <c r="C18" s="7" t="inlineStr">
        <is>
          <t>GVVV 2</t>
        </is>
      </c>
      <c r="D18" s="7" t="inlineStr">
        <is>
          <t>Thuis</t>
        </is>
      </c>
      <c r="E18" s="7" t="n"/>
      <c r="F18" s="7" t="n"/>
      <c r="G18" s="14" t="n"/>
    </row>
    <row r="19">
      <c r="A19" s="12" t="n">
        <v>46480.52083333334</v>
      </c>
      <c r="B19" s="7" t="n"/>
      <c r="C19" s="7" t="inlineStr">
        <is>
          <t>VRC 2</t>
        </is>
      </c>
      <c r="D19" s="7" t="inlineStr">
        <is>
          <t>Uit</t>
        </is>
      </c>
      <c r="E19" s="7" t="n"/>
      <c r="F19" s="7" t="n"/>
      <c r="G19" s="14" t="n"/>
    </row>
    <row r="20">
      <c r="A20" s="12" t="n">
        <v>46487.625</v>
      </c>
      <c r="B20" s="7" t="n"/>
      <c r="C20" s="7" t="inlineStr">
        <is>
          <t>Renswoude 2</t>
        </is>
      </c>
      <c r="D20" s="7" t="inlineStr">
        <is>
          <t>Thuis</t>
        </is>
      </c>
      <c r="E20" s="7" t="n"/>
      <c r="F20" s="7" t="n"/>
      <c r="G20" s="14" t="n"/>
    </row>
    <row r="21">
      <c r="A21" s="12" t="n">
        <v>46494.5</v>
      </c>
      <c r="B21" s="7" t="n"/>
      <c r="C21" s="7" t="inlineStr">
        <is>
          <t>Candia '66 2</t>
        </is>
      </c>
      <c r="D21" s="7" t="inlineStr">
        <is>
          <t>Uit</t>
        </is>
      </c>
      <c r="E21" s="7" t="n"/>
      <c r="F21" s="7" t="n"/>
      <c r="G21" s="14" t="n"/>
    </row>
    <row r="22">
      <c r="A22" s="12" t="n">
        <v>46515.625</v>
      </c>
      <c r="B22" s="7" t="n"/>
      <c r="C22" s="7" t="inlineStr">
        <is>
          <t>Roda '46 3</t>
        </is>
      </c>
      <c r="D22" s="7" t="inlineStr">
        <is>
          <t>Thuis</t>
        </is>
      </c>
      <c r="E22" s="7" t="n"/>
      <c r="F22" s="7" t="n"/>
      <c r="G22" s="14" t="n"/>
    </row>
    <row r="23">
      <c r="A23" s="12" t="n">
        <v>46522.47916666666</v>
      </c>
      <c r="B23" s="7" t="n"/>
      <c r="C23" s="7" t="inlineStr">
        <is>
          <t>SVL 2</t>
        </is>
      </c>
      <c r="D23" s="7" t="inlineStr">
        <is>
          <t>Uit</t>
        </is>
      </c>
      <c r="E23" s="7" t="n"/>
      <c r="F23" s="7" t="n"/>
      <c r="G23" s="14" t="n"/>
    </row>
    <row r="24">
      <c r="A24" s="12" t="n">
        <v>46529.625</v>
      </c>
      <c r="B24" s="7" t="n"/>
      <c r="C24" s="7" t="inlineStr">
        <is>
          <t>Valleivogels 3</t>
        </is>
      </c>
      <c r="D24" s="7" t="inlineStr">
        <is>
          <t>Thuis</t>
        </is>
      </c>
      <c r="E24" s="7" t="n"/>
      <c r="F24" s="7" t="n"/>
      <c r="G24" s="14" t="n"/>
    </row>
    <row r="25">
      <c r="A25" s="12" t="n"/>
      <c r="B25" s="7" t="n"/>
      <c r="C25" s="7" t="n"/>
      <c r="D25" s="7" t="n"/>
      <c r="E25" s="7" t="n"/>
      <c r="F25" s="7" t="n"/>
      <c r="G25" s="7" t="n"/>
    </row>
    <row r="26">
      <c r="A26" s="12" t="n"/>
      <c r="B26" s="7" t="n"/>
      <c r="C26" s="7" t="n"/>
      <c r="D26" s="7" t="n"/>
      <c r="E26" s="7" t="n"/>
      <c r="F26" s="7" t="n"/>
      <c r="G26" s="7" t="n"/>
    </row>
    <row r="27">
      <c r="A27" s="12" t="n"/>
      <c r="B27" s="7" t="n"/>
      <c r="C27" s="7" t="n"/>
      <c r="D27" s="7" t="n"/>
      <c r="E27" s="7" t="n"/>
      <c r="F27" s="7" t="n"/>
      <c r="G27" s="7" t="n"/>
    </row>
  </sheetData>
  <conditionalFormatting sqref="D2:E200">
    <cfRule type="containsText" priority="1" operator="containsText" dxfId="2" text="(W)">
      <formula>NOT(ISERROR(SEARCH(("(W)"),(D2))))</formula>
    </cfRule>
    <cfRule type="containsText" priority="2" operator="containsText" dxfId="3" text="(G)">
      <formula>NOT(ISERROR(SEARCH(("(G)"),(D2))))</formula>
    </cfRule>
    <cfRule type="containsText" priority="3" operator="containsText" dxfId="4" text="(L)">
      <formula>NOT(ISERROR(SEARCH(("(L)"),(D2))))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2026-10-17T07:16:24Z</dcterms:created>
  <dcterms:modified xsi:type="dcterms:W3CDTF">2026-10-17T07:16:24Z</dcterms:modified>
</cp:coreProperties>
</file>